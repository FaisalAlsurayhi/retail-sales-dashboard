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<sst xmlns="http://schemas.openxmlformats.org/spreadsheetml/2006/main" count="27" uniqueCount="26">
  <si>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Month</t>
  </si>
  <si>
    <t xml:space="preserve">Revenue (SAR)</t>
  </si>
  <si>
    <t xml:space="preserve">Units Sold</t>
  </si>
  <si>
    <t xml:space="preserve">Avg Order Value (SAR)</t>
  </si>
  <si>
    <t xml:space="preserve">Returns (SAR)</t>
  </si>
  <si>
    <t xml:space="preserve">Net Revenue (SAR)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</si>
  <si>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</si>
  <si>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</si>
  <si>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</si>
  <si>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</si>
  <si>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</si>
  <si>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</si>
  <si>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</si>
  <si>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</si>
  <si>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</si>
  <si>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</si>
  <si>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</si>
  <si>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</si>
  <si>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TOTAL</t>
  </si>
  <si>
    <t xml:space="preserve">Eastern Province Retail — 2024 Sales Dashboard</t>
  </si>
  <si>
    <t xml:space="preserve">Al-Khobar Branch  |  Annual Performance Summary</t>
  </si>
  <si>
    <t xml:space="preserve">KEY PERFORMANCE INDICATORS</t>
  </si>
  <si>
    <t xml:space="preserve">Total Revenue</t>
  </si>
  <si>
    <t xml:space="preserve">Net Revenue</t>
  </si>
  <si>
    <t xml:space="preserve">Best Month</t>
  </si>
  <si>
    <t xml:space="preserve">Data source: Internal POS system  |  Built by Faisal Alsurayhi  |  github.com/faisalalsurayhi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</si>
</sst>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&quot; SAR&quot;"/>
    <numFmt numFmtId="167" formatCode="#,##0&quot; units&quot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2F75BE"/>
      <name val="Arial"/>
      <family val="0"/>
      <charset val="1"/>
    </font>
    <font>
      <b val="true"/>
      <sz val="18"/>
      <color rgb="FF2E7D32"/>
      <name val="Arial"/>
      <family val="0"/>
      <charset val="1"/>
    </font>
    <font>
      <b val="true"/>
      <sz val="18"/>
      <color rgb="FFF57C00"/>
      <name val="Arial"/>
      <family val="0"/>
      <charset val="1"/>
    </font>
    <font>
      <b val="true"/>
      <sz val="18"/>
      <color rgb="FF6A1B9A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9F9F9"/>
      </patternFill>
    </fill>
    <fill>
      <patternFill patternType="solid">
        <fgColor rgb="FFD6E4F0"/>
        <bgColor rgb="FFD9D9D9"/>
      </patternFill>
    </fill>
    <fill>
      <patternFill patternType="solid">
        <fgColor rgb="FF2F75BE"/>
        <bgColor rgb="FF0066CC"/>
      </patternFill>
    </fill>
    <fill>
      <patternFill patternType="solid">
        <fgColor rgb="FF2E7D32"/>
        <bgColor rgb="FF008000"/>
      </patternFill>
    </fill>
    <fill>
      <patternFill patternType="solid">
        <fgColor rgb="FFF57C00"/>
        <bgColor rgb="FFFF9900"/>
      </patternFill>
    </fill>
    <fill>
      <patternFill patternType="solid">
        <fgColor rgb="FF6A1B9A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CCCCC"/>
      <rgbColor rgb="FF878787"/>
      <rgbColor rgb="FF9999FF"/>
      <rgbColor rgb="FF993366"/>
      <rgbColor rgb="FFF9F9F9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2F75BE"/>
      <rgbColor rgb="FF33CCCC"/>
      <rgbColor rgb="FF99CC00"/>
      <rgbColor rgb="FFFFCC00"/>
      <rgbColor rgb="FFFF9900"/>
      <rgbColor rgb="FFF57C00"/>
      <rgbColor rgb="FF666666"/>
      <rgbColor rgb="FF999999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(SAR)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'Sales Data'!B1</c:f>
              <c:strCache>
                <c:ptCount val="1"/>
                <c:pt idx="0">
                  <c:v>Revenue (SAR)</c:v>
                </c:pt>
              </c:strCache>
            </c:strRef>
          </c:tx>
          <c:spPr>
            <a:solidFill>
              <a:srgbClr val="2f75b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Data'!$A$2:$A$13</c:f>
              <c:strCache>
                <c:ptCount val="12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</c:strCache>
            </c:strRef>
          </c:cat>
          <c:val>
            <c:numRef>
              <c:f>'Sales Data'!$B$2:$B$13</c:f>
              <c:numCache>
                <c:formatCode>#,##0</c:formatCode>
                <c:ptCount val="12"/>
                <c:pt idx="0">
                  <c:v>142000</c:v>
                </c:pt>
                <c:pt idx="1">
                  <c:v>128000</c:v>
                </c:pt>
                <c:pt idx="2">
                  <c:v>155000</c:v>
                </c:pt>
                <c:pt idx="3">
                  <c:v>167000</c:v>
                </c:pt>
                <c:pt idx="4">
                  <c:v>149000</c:v>
                </c:pt>
                <c:pt idx="5">
                  <c:v>138000</c:v>
                </c:pt>
                <c:pt idx="6">
                  <c:v>172000</c:v>
                </c:pt>
                <c:pt idx="7">
                  <c:v>185000</c:v>
                </c:pt>
                <c:pt idx="8">
                  <c:v>161000</c:v>
                </c:pt>
                <c:pt idx="9">
                  <c:v>178000</c:v>
                </c:pt>
                <c:pt idx="10">
                  <c:v>210000</c:v>
                </c:pt>
                <c:pt idx="11">
                  <c:v>245000</c:v>
                </c:pt>
              </c:numCache>
            </c:numRef>
          </c:val>
        </c:ser>
        <c:gapWidth val="150"/>
        <c:overlap val="0"/>
        <c:axId val="96244518"/>
        <c:axId val="81769675"/>
      </c:barChart>
      <c:catAx>
        <c:axId val="962445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69675"/>
        <c:crosses val="autoZero"/>
        <c:auto val="1"/>
        <c:lblAlgn val="ctr"/>
        <c:lblOffset val="100"/>
        <c:noMultiLvlLbl val="0"/>
      </c:catAx>
      <c:valAx>
        <c:axId val="817696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445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Trend (SAR)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'Sales Data'!F1</c:f>
              <c:strCache>
                <c:ptCount val="1"/>
                <c:pt idx="0">
                  <c:v>Net Revenue (SAR)</c:v>
                </c:pt>
              </c:strCache>
            </c:strRef>
          </c:tx>
          <c:spPr>
            <a:solidFill>
              <a:srgbClr val="2e7d32"/>
            </a:solidFill>
            <a:ln w="2484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Data'!$A$2:$A$13</c:f>
              <c:strCache>
                <c:ptCount val="12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</c:strCache>
            </c:strRef>
          </c:cat>
          <c:val>
            <c:numRef>
              <c:f>'Sales Data'!$F$2:$F$13</c:f>
              <c:numCache>
                <c:formatCode>#,##0</c:formatCode>
                <c:ptCount val="12"/>
                <c:pt idx="0">
                  <c:v>137740</c:v>
                </c:pt>
                <c:pt idx="1">
                  <c:v>124160</c:v>
                </c:pt>
                <c:pt idx="2">
                  <c:v>150350</c:v>
                </c:pt>
                <c:pt idx="3">
                  <c:v>161990</c:v>
                </c:pt>
                <c:pt idx="4">
                  <c:v>144530</c:v>
                </c:pt>
                <c:pt idx="5">
                  <c:v>133860</c:v>
                </c:pt>
                <c:pt idx="6">
                  <c:v>166840</c:v>
                </c:pt>
                <c:pt idx="7">
                  <c:v>179450</c:v>
                </c:pt>
                <c:pt idx="8">
                  <c:v>156170</c:v>
                </c:pt>
                <c:pt idx="9">
                  <c:v>172660</c:v>
                </c:pt>
                <c:pt idx="10">
                  <c:v>203700</c:v>
                </c:pt>
                <c:pt idx="11">
                  <c:v>237650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287653"/>
        <c:axId val="51515797"/>
      </c:lineChart>
      <c:catAx>
        <c:axId val="992876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15797"/>
        <c:crosses val="autoZero"/>
        <c:auto val="1"/>
        <c:lblAlgn val="ctr"/>
        <c:lblOffset val="100"/>
        <c:noMultiLvlLbl val="0"/>
      </c:catAx>
      <c:valAx>
        <c:axId val="515157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876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130680</xdr:rowOff>
    </xdr:from>
    <xdr:to>
      <xdr:col>10</xdr:col>
      <xdr:colOff>511560</xdr:colOff>
      <xdr:row>30</xdr:row>
      <xdr:rowOff>90000</xdr:rowOff>
    </xdr:to>
    <xdr:graphicFrame>
      <xdr:nvGraphicFramePr>
        <xdr:cNvPr id="0" name="Chart 1"/>
        <xdr:cNvGraphicFramePr/>
      </xdr:nvGraphicFramePr>
      <xdr:xfrm>
        <a:off x="611640" y="21430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9</xdr:row>
      <xdr:rowOff>130680</xdr:rowOff>
    </xdr:from>
    <xdr:to>
      <xdr:col>19</xdr:col>
      <xdr:colOff>364680</xdr:colOff>
      <xdr:row>30</xdr:row>
      <xdr:rowOff>90000</xdr:rowOff>
    </xdr:to>
    <xdr:graphicFrame>
      <xdr:nvGraphicFramePr>
        <xdr:cNvPr id="1" name="Chart 2"/>
        <xdr:cNvGraphicFramePr/>
      </xdr:nvGraphicFramePr>
      <xdr:xfrm>
        <a:off x="5968440" y="21430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6" min="6" style="0" width="1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n">
        <v>142000</v>
      </c>
      <c r="C2" s="3" t="n">
        <v>284</v>
      </c>
      <c r="D2" s="3" t="n">
        <f aca="false">B2/C2</f>
        <v>500</v>
      </c>
      <c r="E2" s="3" t="n">
        <v>4260</v>
      </c>
      <c r="F2" s="3" t="n">
        <f aca="false">B2-E2</f>
        <v>137740</v>
      </c>
    </row>
    <row r="3" customFormat="false" ht="15" hidden="false" customHeight="false" outlineLevel="0" collapsed="false">
      <c r="A3" s="4" t="s">
        <v>7</v>
      </c>
      <c r="B3" s="5" t="n">
        <v>128000</v>
      </c>
      <c r="C3" s="5" t="n">
        <v>256</v>
      </c>
      <c r="D3" s="5" t="n">
        <f aca="false">B3/C3</f>
        <v>500</v>
      </c>
      <c r="E3" s="5" t="n">
        <v>3840</v>
      </c>
      <c r="F3" s="5" t="n">
        <f aca="false">B3-E3</f>
        <v>124160</v>
      </c>
    </row>
    <row r="4" customFormat="false" ht="15" hidden="false" customHeight="false" outlineLevel="0" collapsed="false">
      <c r="A4" s="2" t="s">
        <v>8</v>
      </c>
      <c r="B4" s="3" t="n">
        <v>155000</v>
      </c>
      <c r="C4" s="3" t="n">
        <v>310</v>
      </c>
      <c r="D4" s="3" t="n">
        <f aca="false">B4/C4</f>
        <v>500</v>
      </c>
      <c r="E4" s="3" t="n">
        <v>4650</v>
      </c>
      <c r="F4" s="3" t="n">
        <f aca="false">B4-E4</f>
        <v>150350</v>
      </c>
    </row>
    <row r="5" customFormat="false" ht="15" hidden="false" customHeight="false" outlineLevel="0" collapsed="false">
      <c r="A5" s="4" t="s">
        <v>9</v>
      </c>
      <c r="B5" s="5" t="n">
        <v>167000</v>
      </c>
      <c r="C5" s="5" t="n">
        <v>334</v>
      </c>
      <c r="D5" s="5" t="n">
        <f aca="false">B5/C5</f>
        <v>500</v>
      </c>
      <c r="E5" s="5" t="n">
        <v>5010</v>
      </c>
      <c r="F5" s="5" t="n">
        <f aca="false">B5-E5</f>
        <v>161990</v>
      </c>
    </row>
    <row r="6" customFormat="false" ht="15" hidden="false" customHeight="false" outlineLevel="0" collapsed="false">
      <c r="A6" s="2" t="s">
        <v>10</v>
      </c>
      <c r="B6" s="3" t="n">
        <v>149000</v>
      </c>
      <c r="C6" s="3" t="n">
        <v>298</v>
      </c>
      <c r="D6" s="3" t="n">
        <f aca="false">B6/C6</f>
        <v>500</v>
      </c>
      <c r="E6" s="3" t="n">
        <v>4470</v>
      </c>
      <c r="F6" s="3" t="n">
        <f aca="false">B6-E6</f>
        <v>144530</v>
      </c>
    </row>
    <row r="7" customFormat="false" ht="15" hidden="false" customHeight="false" outlineLevel="0" collapsed="false">
      <c r="A7" s="4" t="s">
        <v>11</v>
      </c>
      <c r="B7" s="5" t="n">
        <v>138000</v>
      </c>
      <c r="C7" s="5" t="n">
        <v>276</v>
      </c>
      <c r="D7" s="5" t="n">
        <f aca="false">B7/C7</f>
        <v>500</v>
      </c>
      <c r="E7" s="5" t="n">
        <v>4140</v>
      </c>
      <c r="F7" s="5" t="n">
        <f aca="false">B7-E7</f>
        <v>133860</v>
      </c>
    </row>
    <row r="8" customFormat="false" ht="15" hidden="false" customHeight="false" outlineLevel="0" collapsed="false">
      <c r="A8" s="2" t="s">
        <v>12</v>
      </c>
      <c r="B8" s="3" t="n">
        <v>172000</v>
      </c>
      <c r="C8" s="3" t="n">
        <v>344</v>
      </c>
      <c r="D8" s="3" t="n">
        <f aca="false">B8/C8</f>
        <v>500</v>
      </c>
      <c r="E8" s="3" t="n">
        <v>5160</v>
      </c>
      <c r="F8" s="3" t="n">
        <f aca="false">B8-E8</f>
        <v>166840</v>
      </c>
    </row>
    <row r="9" customFormat="false" ht="15" hidden="false" customHeight="false" outlineLevel="0" collapsed="false">
      <c r="A9" s="4" t="s">
        <v>13</v>
      </c>
      <c r="B9" s="5" t="n">
        <v>185000</v>
      </c>
      <c r="C9" s="5" t="n">
        <v>370</v>
      </c>
      <c r="D9" s="5" t="n">
        <f aca="false">B9/C9</f>
        <v>500</v>
      </c>
      <c r="E9" s="5" t="n">
        <v>5550</v>
      </c>
      <c r="F9" s="5" t="n">
        <f aca="false">B9-E9</f>
        <v>179450</v>
      </c>
    </row>
    <row r="10" customFormat="false" ht="15" hidden="false" customHeight="false" outlineLevel="0" collapsed="false">
      <c r="A10" s="2" t="s">
        <v>14</v>
      </c>
      <c r="B10" s="3" t="n">
        <v>161000</v>
      </c>
      <c r="C10" s="3" t="n">
        <v>322</v>
      </c>
      <c r="D10" s="3" t="n">
        <f aca="false">B10/C10</f>
        <v>500</v>
      </c>
      <c r="E10" s="3" t="n">
        <v>4830</v>
      </c>
      <c r="F10" s="3" t="n">
        <f aca="false">B10-E10</f>
        <v>156170</v>
      </c>
    </row>
    <row r="11" customFormat="false" ht="15" hidden="false" customHeight="false" outlineLevel="0" collapsed="false">
      <c r="A11" s="4" t="s">
        <v>15</v>
      </c>
      <c r="B11" s="5" t="n">
        <v>178000</v>
      </c>
      <c r="C11" s="5" t="n">
        <v>356</v>
      </c>
      <c r="D11" s="5" t="n">
        <f aca="false">B11/C11</f>
        <v>500</v>
      </c>
      <c r="E11" s="5" t="n">
        <v>5340</v>
      </c>
      <c r="F11" s="5" t="n">
        <f aca="false">B11-E11</f>
        <v>172660</v>
      </c>
    </row>
    <row r="12" customFormat="false" ht="15" hidden="false" customHeight="false" outlineLevel="0" collapsed="false">
      <c r="A12" s="2" t="s">
        <v>16</v>
      </c>
      <c r="B12" s="3" t="n">
        <v>210000</v>
      </c>
      <c r="C12" s="3" t="n">
        <v>420</v>
      </c>
      <c r="D12" s="3" t="n">
        <f aca="false">B12/C12</f>
        <v>500</v>
      </c>
      <c r="E12" s="3" t="n">
        <v>6300</v>
      </c>
      <c r="F12" s="3" t="n">
        <f aca="false">B12-E12</f>
        <v>203700</v>
      </c>
    </row>
    <row r="13" customFormat="false" ht="15" hidden="false" customHeight="false" outlineLevel="0" collapsed="false">
      <c r="A13" s="4" t="s">
        <v>17</v>
      </c>
      <c r="B13" s="5" t="n">
        <v>245000</v>
      </c>
      <c r="C13" s="5" t="n">
        <v>490</v>
      </c>
      <c r="D13" s="5" t="n">
        <f aca="false">B13/C13</f>
        <v>500</v>
      </c>
      <c r="E13" s="5" t="n">
        <v>7350</v>
      </c>
      <c r="F13" s="5" t="n">
        <f aca="false">B13-E13</f>
        <v>237650</v>
      </c>
    </row>
    <row r="14" customFormat="false" ht="15" hidden="false" customHeight="false" outlineLevel="0" collapsed="false">
      <c r="A14" s="6" t="s">
        <v>18</v>
      </c>
      <c r="B14" s="6" t="n">
        <f aca="false">SUM(B2:B13)</f>
        <v>2030000</v>
      </c>
      <c r="C14" s="6" t="n">
        <f aca="false">SUM(C2:C13)</f>
        <v>4060</v>
      </c>
      <c r="D14" s="6" t="n">
        <f aca="false">AVERAGE(D2:D13)</f>
        <v>500</v>
      </c>
      <c r="E14" s="6" t="n">
        <f aca="false">SUM(E2:E13)</f>
        <v>60900</v>
      </c>
      <c r="F14" s="6" t="n">
        <f aca="false">SUM(F2:F13)</f>
        <v>1969100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6" min="6" style="0" width="16"/>
    <col collapsed="false" customWidth="true" hidden="false" outlineLevel="0" max="7" min="7" style="0" width="3"/>
    <col collapsed="false" customWidth="true" hidden="false" outlineLevel="0" max="8" min="8" style="0" width="16"/>
    <col collapsed="false" customWidth="true" hidden="false" outlineLevel="0" max="9" min="9" style="0" width="3"/>
  </cols>
  <sheetData>
    <row r="2" customFormat="false" ht="19.7" hidden="false" customHeight="false" outlineLevel="0" collapsed="false">
      <c r="B2" s="7" t="s">
        <v>19</v>
      </c>
    </row>
    <row r="3" customFormat="false" ht="15" hidden="false" customHeight="false" outlineLevel="0" collapsed="false">
      <c r="B3" s="8" t="s">
        <v>20</v>
      </c>
    </row>
    <row r="5" customFormat="false" ht="15" hidden="false" customHeight="false" outlineLevel="0" collapsed="false">
      <c r="B5" s="9" t="s">
        <v>21</v>
      </c>
      <c r="C5" s="9"/>
      <c r="D5" s="9"/>
      <c r="E5" s="9"/>
      <c r="F5" s="9"/>
      <c r="G5" s="9"/>
      <c r="H5" s="9"/>
      <c r="I5" s="9"/>
    </row>
    <row r="7" customFormat="false" ht="21.75" hidden="false" customHeight="true" outlineLevel="0" collapsed="false">
      <c r="B7" s="10" t="s">
        <v>22</v>
      </c>
      <c r="C7" s="10"/>
      <c r="D7" s="11" t="s">
        <v>23</v>
      </c>
      <c r="E7" s="11"/>
      <c r="F7" s="12" t="s">
        <v>2</v>
      </c>
      <c r="G7" s="12"/>
      <c r="H7" s="13" t="s">
        <v>24</v>
      </c>
      <c r="I7" s="13"/>
    </row>
    <row r="8" customFormat="false" ht="37.5" hidden="false" customHeight="true" outlineLevel="0" collapsed="false">
      <c r="B8" s="14" t="n">
        <f aca="false">'Sales Data'!B14</f>
        <v>2030000</v>
      </c>
      <c r="C8" s="14"/>
      <c r="D8" s="15" t="n">
        <f aca="false">'Sales Data'!F14</f>
        <v>1969100</v>
      </c>
      <c r="E8" s="15"/>
      <c r="F8" s="16" t="n">
        <f aca="false">'Sales Data'!C14</f>
        <v>4060</v>
      </c>
      <c r="G8" s="16"/>
      <c r="H8" s="17" t="str">
        <f aca="false">INDEX('Sales Data'!A2:A13,MATCH(MAX('Sales Data'!B2:B13),'Sales Data'!B2:B13,0))</f>
        <v>Dec 2024</v>
      </c>
      <c r="I8" s="17"/>
    </row>
    <row r="9" customFormat="false" ht="4.5" hidden="false" customHeight="true" outlineLevel="0" collapsed="false">
      <c r="B9" s="18"/>
      <c r="C9" s="18"/>
      <c r="D9" s="19"/>
      <c r="E9" s="19"/>
      <c r="F9" s="20"/>
      <c r="G9" s="20"/>
      <c r="H9" s="21"/>
      <c r="I9" s="21"/>
    </row>
    <row r="30" customFormat="false" ht="15" hidden="false" customHeight="false" outlineLevel="0" collapsed="false">
      <c r="B30" s="22" t="s">
        <v>25</v>
      </c>
    </row>
  </sheetData>
  <mergeCells count="13">
    <mergeCell ref="B5:I5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2026-03-12T20:46:38Z</dcterms:created>
  <dc:creator>openpyxl</dc:creator>
  <dc:description/>
  <dc:language>en-US</dc:language>
  <cp:lastModifiedBy/>
  <dcterms:modified xsi:type="dcterms:W3CDTF">2026-03-12T20:46:46Z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